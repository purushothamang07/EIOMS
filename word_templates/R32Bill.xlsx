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755" windowHeight="705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7" roundtripDataChecksum="4a8FIHBNxsLjhVTlhWp6SGxx5zr/t8T3FD0vW9KBAQY="/>
    </ext>
  </extLst>
</workbook>
</file>

<file path=xl/calcChain.xml><?xml version="1.0" encoding="utf-8"?>
<calcChain xmlns="http://schemas.openxmlformats.org/spreadsheetml/2006/main">
  <c r="L44" i="1" l="1"/>
  <c r="L43" i="1"/>
  <c r="L42" i="1"/>
  <c r="L41" i="1"/>
  <c r="L40" i="1"/>
  <c r="L38" i="1"/>
  <c r="L37" i="1"/>
  <c r="L36" i="1"/>
  <c r="L35" i="1"/>
  <c r="L34" i="1"/>
  <c r="L33" i="1"/>
  <c r="L32" i="1"/>
  <c r="L30" i="1"/>
  <c r="L29" i="1"/>
  <c r="L28" i="1"/>
  <c r="L27" i="1"/>
  <c r="L25" i="1"/>
  <c r="L24" i="1"/>
  <c r="L22" i="1"/>
  <c r="L21" i="1"/>
  <c r="L19" i="1"/>
  <c r="L18" i="1"/>
  <c r="L17" i="1"/>
  <c r="L15" i="1"/>
  <c r="L14" i="1"/>
  <c r="L13" i="1"/>
  <c r="L11" i="1"/>
  <c r="L10" i="1"/>
  <c r="L46" i="1" l="1"/>
  <c r="L49" i="1" s="1"/>
  <c r="H49" i="1" l="1"/>
</calcChain>
</file>

<file path=xl/sharedStrings.xml><?xml version="1.0" encoding="utf-8"?>
<sst xmlns="http://schemas.openxmlformats.org/spreadsheetml/2006/main" count="131" uniqueCount="77">
  <si>
    <t>வரைவுப் பட்டியல் - விதி 32 -ன் கீழ் ஆய்வு</t>
  </si>
  <si>
    <t>அரசு ஆணை எண் (எம்.எஸ்.): 31, எரிசக்தி (பி1) துறை, நாள்: 01.04.2002</t>
  </si>
  <si>
    <t>ஆய்வு அதிகாரியின் பெயர்:</t>
  </si>
  <si>
    <t>திரு.ஞா.புருஷோத்தமன்</t>
  </si>
  <si>
    <t>உதவி மின்ஆய்வாளர், 
மின்ஆய்வாளர்/வேலூர் அலுவலகம்</t>
  </si>
  <si>
    <t>மின்னமைப்பின் பெயர்:</t>
  </si>
  <si>
    <t>ஆய்வு நாள்:</t>
  </si>
  <si>
    <t>வ. எண்</t>
  </si>
  <si>
    <t>கருவிகளின் விவரங்கள்</t>
  </si>
  <si>
    <t>எண்ணிக்கை</t>
  </si>
  <si>
    <t>வீதம் (ரூ)</t>
  </si>
  <si>
    <t>மொத்தம் (ரூ)</t>
  </si>
  <si>
    <t>ஆ உ/உமிஅ மின் மாற்றிகள்</t>
  </si>
  <si>
    <t>(அ)</t>
  </si>
  <si>
    <t>10000 கேவிஏ மற்றும் 10000 கேவிஏ வரை</t>
  </si>
  <si>
    <t>x</t>
  </si>
  <si>
    <t>(ஆ)</t>
  </si>
  <si>
    <t>10000 கேவிஏ-க்கு மேல்</t>
  </si>
  <si>
    <t>உயர்/உமிஅ மின் மாற்றிகள்</t>
  </si>
  <si>
    <t>3000 கேவிஏ மற்றும் 3000 கேவிஏ வரை</t>
  </si>
  <si>
    <t>3000 கேவிஏ-க்கு மேல் மற்றும் 5000 கேவிஏ வரை</t>
  </si>
  <si>
    <t>(இ)</t>
  </si>
  <si>
    <t>5000 கேவிஏ-க்கு மேல்</t>
  </si>
  <si>
    <t>உயர்/ நமிஅ மின் மாற்றிகள்</t>
  </si>
  <si>
    <t>500 கேவிஏ மற்றும் 500 கேவிஏ வரை</t>
  </si>
  <si>
    <t>500 கேவிஏ-க்கு மேல் மற்றும் 1000 கேவிஏ வரை</t>
  </si>
  <si>
    <t>1000 கேவிஏ-க்கு மேல்</t>
  </si>
  <si>
    <t>உயர் மின் அழுத்த கருவிகள்</t>
  </si>
  <si>
    <t>500 கேவிஏ-க்கு மேல்</t>
  </si>
  <si>
    <t>உயர் மின் அழுத்த மின்னாக்கிகள்</t>
  </si>
  <si>
    <t>5000 கேவிஏ மற்றும் 5000 கேவிஏ வரை</t>
  </si>
  <si>
    <t>நடு மின் அழுத்த மின்னாக்கிகள்</t>
  </si>
  <si>
    <t>25 கேவிஏ மற்றும் 25 கேவிஏ வரை</t>
  </si>
  <si>
    <t>25 கேவிஏ-க்கு மேல் மற்றும் 100 கேவிஏ வரை</t>
  </si>
  <si>
    <t>100 கேவிஏ-க்கு மேல் மற்றும் 500 கேவிஏ வரை</t>
  </si>
  <si>
    <t>(ஈ)</t>
  </si>
  <si>
    <t>நடு மின் அழுத்த கருவிகள்</t>
  </si>
  <si>
    <t>5 கேவிஏ மற்றும் 5 கேவிஏ வரை</t>
  </si>
  <si>
    <t>5 கேவிஏ-க்கு மேல் மற்றும் 25 கேவிஏ வரை</t>
  </si>
  <si>
    <t>25 கேவிஏ-க்கு மேல் மற்றும் 50 கேவிஏ வரை</t>
  </si>
  <si>
    <t>50 கேவிஏ-க்கு மேல் மற்றும் 250 கேவிஏ வரை</t>
  </si>
  <si>
    <t>(உ)</t>
  </si>
  <si>
    <t>250 கேவிஏ-க்கு மேல் மற்றும் 500 கேவிஏ வரை</t>
  </si>
  <si>
    <t>(ஊ)</t>
  </si>
  <si>
    <t>(எ)</t>
  </si>
  <si>
    <t>அதிகபட்ச ஆய்வுகட்டணம்</t>
  </si>
  <si>
    <t>பிற இனைங்கள்</t>
  </si>
  <si>
    <t>எக்ஸ் ரே</t>
  </si>
  <si>
    <t>நியான் சைன் விளக்கு</t>
  </si>
  <si>
    <t>ஒரு முனை மின் கருவிகள்</t>
  </si>
  <si>
    <t>குறைந்தபட்ச ஆய்வுகட்டணம்</t>
  </si>
  <si>
    <t>சரிபார்த்தல் ஆய்வுகட்டணம்</t>
  </si>
  <si>
    <t>மொத்த ஆய்வுக்கட்டணம்:</t>
  </si>
  <si>
    <t>ரூ.</t>
  </si>
  <si>
    <t>முன்பணம்:</t>
  </si>
  <si>
    <t xml:space="preserve">நாள்: </t>
  </si>
  <si>
    <t>at DTO/Vellore</t>
  </si>
  <si>
    <t>இணைப்பு: கருவிகள் பட்டியல்கள் (2)</t>
  </si>
  <si>
    <t>உதவி மின் ஆய்வாளர்/வேலூர்</t>
  </si>
  <si>
    <t>{{Consumer_Address}}</t>
  </si>
  <si>
    <t>{{Inspection_Date}}</t>
  </si>
  <si>
    <t>{{No_of_Transformers_upto_500_kVA}}</t>
  </si>
  <si>
    <t>{{No_of_Transformers_500-1000_kVA}}</t>
  </si>
  <si>
    <t>{{No_of_DGSets_25-100_kVA}}</t>
  </si>
  <si>
    <t>{{No_of_DGSets_100-500_kVA}}</t>
  </si>
  <si>
    <t>{{No_of_DGSets_above_500_kVA}}</t>
  </si>
  <si>
    <t>{{MV_load_5kVA}}</t>
  </si>
  <si>
    <t>{{MV_load_5-25_kVA}}</t>
  </si>
  <si>
    <t>{{MV_load_25-50_kVA}}</t>
  </si>
  <si>
    <t>{{MV_load_50-250_kVA}}</t>
  </si>
  <si>
    <t>{{MV_load_250-500_kVA}}</t>
  </si>
  <si>
    <t>{{MV_load_above-500_kVA}}</t>
  </si>
  <si>
    <t xml:space="preserve">செ.சீ. எண் :  </t>
  </si>
  <si>
    <t>{{Challan_No}}</t>
  </si>
  <si>
    <t>{{Challan_Date}}</t>
  </si>
  <si>
    <t>{{Challan_Amount}}</t>
  </si>
  <si>
    <t>{{No_of_Transformers_above-1000_kVA}}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</si>
</sst>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TAU-Marutham"/>
      <family val="2"/>
    </font>
    <font>
      <b/>
      <sz val="10"/>
      <color theme="1"/>
      <name val="TAU-Marutham"/>
      <family val="2"/>
    </font>
    <font>
      <sz val="10"/>
      <name val="TAU-Marutham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Z1000"/>
  <sheetViews>
    <sheetView tabSelected="1" topLeftCell="A40" workbookViewId="0">
      <selection activeCell="H58" sqref="H58"/>
    </sheetView>
  </sheetViews>
  <sheetFormatPr defaultColWidth="14.42578125" defaultRowHeight="15" customHeight="1" x14ac:dyDescent="0.25"/>
  <cols>
    <col min="1" max="1" width="6.28515625" customWidth="1"/>
    <col min="2" max="6" width="8.7109375" customWidth="1"/>
    <col min="7" max="7" width="4" customWidth="1"/>
    <col min="8" max="8" width="12.7109375" customWidth="1"/>
    <col min="9" max="9" width="8.85546875" customWidth="1"/>
    <col min="10" max="10" width="4.42578125" customWidth="1"/>
    <col min="11" max="11" width="8.7109375" customWidth="1"/>
    <col min="12" max="12" width="11" customWidth="1"/>
    <col min="13" max="26" width="8.7109375" customWidth="1"/>
  </cols>
  <sheetData>
    <row r="1" spans="1:26" ht="16.5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6" ht="16.5" x14ac:dyDescent="0.3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6" ht="16.5" x14ac:dyDescent="0.35">
      <c r="A3" s="26" t="s">
        <v>2</v>
      </c>
      <c r="B3" s="25"/>
      <c r="C3" s="25"/>
      <c r="D3" s="25"/>
      <c r="E3" s="26" t="s">
        <v>3</v>
      </c>
      <c r="F3" s="25"/>
      <c r="G3" s="25"/>
      <c r="H3" s="25"/>
      <c r="I3" s="25"/>
      <c r="J3" s="25"/>
      <c r="K3" s="25"/>
      <c r="L3" s="5"/>
    </row>
    <row r="4" spans="1:26" ht="30.75" customHeight="1" x14ac:dyDescent="0.35">
      <c r="A4" s="5"/>
      <c r="B4" s="5"/>
      <c r="C4" s="5"/>
      <c r="D4" s="5"/>
      <c r="E4" s="27" t="s">
        <v>4</v>
      </c>
      <c r="F4" s="25"/>
      <c r="G4" s="25"/>
      <c r="H4" s="25"/>
      <c r="I4" s="25"/>
      <c r="J4" s="25"/>
      <c r="K4" s="25"/>
      <c r="L4" s="5"/>
    </row>
    <row r="5" spans="1:26" ht="27" customHeight="1" x14ac:dyDescent="0.35">
      <c r="A5" s="28" t="s">
        <v>5</v>
      </c>
      <c r="B5" s="25"/>
      <c r="C5" s="25"/>
      <c r="D5" s="25"/>
      <c r="E5" s="27" t="s">
        <v>59</v>
      </c>
      <c r="F5" s="27"/>
      <c r="G5" s="27"/>
      <c r="H5" s="27"/>
      <c r="I5" s="27"/>
      <c r="J5" s="27"/>
      <c r="K5" s="27"/>
      <c r="L5" s="5"/>
    </row>
    <row r="6" spans="1:26" ht="21" customHeight="1" x14ac:dyDescent="0.35">
      <c r="A6" s="5"/>
      <c r="B6" s="5"/>
      <c r="C6" s="5"/>
      <c r="D6" s="5"/>
      <c r="E6" s="27"/>
      <c r="F6" s="27"/>
      <c r="G6" s="27"/>
      <c r="H6" s="27"/>
      <c r="I6" s="27"/>
      <c r="J6" s="27"/>
      <c r="K6" s="27"/>
      <c r="L6" s="5"/>
    </row>
    <row r="7" spans="1:26" ht="16.5" x14ac:dyDescent="0.35">
      <c r="A7" s="26" t="s">
        <v>6</v>
      </c>
      <c r="B7" s="25"/>
      <c r="C7" s="25"/>
      <c r="D7" s="25"/>
      <c r="E7" s="26" t="s">
        <v>60</v>
      </c>
      <c r="F7" s="25"/>
      <c r="G7" s="5"/>
      <c r="H7" s="5"/>
      <c r="I7" s="5"/>
      <c r="J7" s="5"/>
      <c r="K7" s="5"/>
      <c r="L7" s="5"/>
    </row>
    <row r="8" spans="1:26" ht="33" x14ac:dyDescent="0.35">
      <c r="A8" s="7" t="s">
        <v>7</v>
      </c>
      <c r="B8" s="29" t="s">
        <v>8</v>
      </c>
      <c r="C8" s="30"/>
      <c r="D8" s="30"/>
      <c r="E8" s="30"/>
      <c r="F8" s="30"/>
      <c r="G8" s="31"/>
      <c r="H8" s="8"/>
      <c r="I8" s="32" t="s">
        <v>9</v>
      </c>
      <c r="J8" s="31"/>
      <c r="K8" s="7" t="s">
        <v>10</v>
      </c>
      <c r="L8" s="7" t="s">
        <v>11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x14ac:dyDescent="0.35">
      <c r="A9" s="9">
        <v>1</v>
      </c>
      <c r="B9" s="33" t="s">
        <v>12</v>
      </c>
      <c r="C9" s="30"/>
      <c r="D9" s="30"/>
      <c r="E9" s="30"/>
      <c r="F9" s="30"/>
      <c r="G9" s="31"/>
      <c r="H9" s="10"/>
      <c r="I9" s="11"/>
      <c r="J9" s="11"/>
      <c r="K9" s="11"/>
      <c r="L9" s="11"/>
    </row>
    <row r="10" spans="1:26" ht="16.5" x14ac:dyDescent="0.35">
      <c r="A10" s="9" t="s">
        <v>13</v>
      </c>
      <c r="B10" s="33" t="s">
        <v>14</v>
      </c>
      <c r="C10" s="30"/>
      <c r="D10" s="30"/>
      <c r="E10" s="30"/>
      <c r="F10" s="30"/>
      <c r="G10" s="31"/>
      <c r="H10" s="10"/>
      <c r="I10" s="9"/>
      <c r="J10" s="9" t="s">
        <v>15</v>
      </c>
      <c r="K10" s="9">
        <v>3000</v>
      </c>
      <c r="L10" s="9">
        <f t="shared" ref="L10:L11" si="0">I10*K10</f>
        <v>0</v>
      </c>
    </row>
    <row r="11" spans="1:26" ht="16.5" x14ac:dyDescent="0.35">
      <c r="A11" s="9" t="s">
        <v>16</v>
      </c>
      <c r="B11" s="33" t="s">
        <v>17</v>
      </c>
      <c r="C11" s="30"/>
      <c r="D11" s="30"/>
      <c r="E11" s="30"/>
      <c r="F11" s="30"/>
      <c r="G11" s="31"/>
      <c r="H11" s="10"/>
      <c r="I11" s="9"/>
      <c r="J11" s="9" t="s">
        <v>15</v>
      </c>
      <c r="K11" s="9">
        <v>5000</v>
      </c>
      <c r="L11" s="9">
        <f t="shared" si="0"/>
        <v>0</v>
      </c>
    </row>
    <row r="12" spans="1:26" ht="16.5" x14ac:dyDescent="0.35">
      <c r="A12" s="9">
        <v>2</v>
      </c>
      <c r="B12" s="33" t="s">
        <v>18</v>
      </c>
      <c r="C12" s="30"/>
      <c r="D12" s="30"/>
      <c r="E12" s="30"/>
      <c r="F12" s="30"/>
      <c r="G12" s="31"/>
      <c r="H12" s="10"/>
      <c r="I12" s="9"/>
      <c r="J12" s="9"/>
      <c r="K12" s="9"/>
      <c r="L12" s="9"/>
    </row>
    <row r="13" spans="1:26" ht="16.5" x14ac:dyDescent="0.35">
      <c r="A13" s="12" t="s">
        <v>13</v>
      </c>
      <c r="B13" s="34" t="s">
        <v>19</v>
      </c>
      <c r="C13" s="30"/>
      <c r="D13" s="30"/>
      <c r="E13" s="30"/>
      <c r="F13" s="30"/>
      <c r="G13" s="31"/>
      <c r="H13" s="13"/>
      <c r="I13" s="12"/>
      <c r="J13" s="12" t="s">
        <v>15</v>
      </c>
      <c r="K13" s="12">
        <v>1500</v>
      </c>
      <c r="L13" s="12">
        <f t="shared" ref="L13:L15" si="1">I13*K13</f>
        <v>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35">
      <c r="A14" s="9" t="s">
        <v>16</v>
      </c>
      <c r="B14" s="33" t="s">
        <v>20</v>
      </c>
      <c r="C14" s="30"/>
      <c r="D14" s="30"/>
      <c r="E14" s="30"/>
      <c r="F14" s="30"/>
      <c r="G14" s="31"/>
      <c r="H14" s="11"/>
      <c r="I14" s="9"/>
      <c r="J14" s="9" t="s">
        <v>15</v>
      </c>
      <c r="K14" s="9">
        <v>2000</v>
      </c>
      <c r="L14" s="9">
        <f t="shared" si="1"/>
        <v>0</v>
      </c>
    </row>
    <row r="15" spans="1:26" ht="16.5" x14ac:dyDescent="0.35">
      <c r="A15" s="9" t="s">
        <v>21</v>
      </c>
      <c r="B15" s="33" t="s">
        <v>22</v>
      </c>
      <c r="C15" s="30"/>
      <c r="D15" s="30"/>
      <c r="E15" s="30"/>
      <c r="F15" s="30"/>
      <c r="G15" s="31"/>
      <c r="H15" s="10"/>
      <c r="I15" s="9"/>
      <c r="J15" s="9" t="s">
        <v>15</v>
      </c>
      <c r="K15" s="9">
        <v>2500</v>
      </c>
      <c r="L15" s="9">
        <f t="shared" si="1"/>
        <v>0</v>
      </c>
    </row>
    <row r="16" spans="1:26" ht="16.5" x14ac:dyDescent="0.35">
      <c r="A16" s="9">
        <v>3</v>
      </c>
      <c r="B16" s="35" t="s">
        <v>23</v>
      </c>
      <c r="C16" s="30"/>
      <c r="D16" s="30"/>
      <c r="E16" s="30"/>
      <c r="F16" s="30"/>
      <c r="G16" s="31"/>
      <c r="H16" s="10"/>
      <c r="I16" s="9"/>
      <c r="J16" s="9"/>
      <c r="K16" s="9"/>
      <c r="L16" s="9"/>
    </row>
    <row r="17" spans="1:26" ht="33.75" customHeight="1" x14ac:dyDescent="0.35">
      <c r="A17" s="12" t="s">
        <v>13</v>
      </c>
      <c r="B17" s="34" t="s">
        <v>24</v>
      </c>
      <c r="C17" s="30"/>
      <c r="D17" s="30"/>
      <c r="E17" s="30"/>
      <c r="F17" s="30"/>
      <c r="G17" s="31"/>
      <c r="H17" s="13"/>
      <c r="I17" s="12" t="s">
        <v>61</v>
      </c>
      <c r="J17" s="12" t="s">
        <v>15</v>
      </c>
      <c r="K17" s="12">
        <v>500</v>
      </c>
      <c r="L17" s="12" t="e">
        <f t="shared" ref="L17:L19" si="2">I17*K17</f>
        <v>#VALUE!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35">
      <c r="A18" s="12" t="s">
        <v>16</v>
      </c>
      <c r="B18" s="34" t="s">
        <v>25</v>
      </c>
      <c r="C18" s="30"/>
      <c r="D18" s="30"/>
      <c r="E18" s="30"/>
      <c r="F18" s="30"/>
      <c r="G18" s="31"/>
      <c r="H18" s="13"/>
      <c r="I18" s="12" t="s">
        <v>62</v>
      </c>
      <c r="J18" s="12" t="s">
        <v>15</v>
      </c>
      <c r="K18" s="12">
        <v>750</v>
      </c>
      <c r="L18" s="12" t="e">
        <f t="shared" si="2"/>
        <v>#VALUE!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x14ac:dyDescent="0.35">
      <c r="A19" s="12" t="s">
        <v>21</v>
      </c>
      <c r="B19" s="34" t="s">
        <v>26</v>
      </c>
      <c r="C19" s="30"/>
      <c r="D19" s="30"/>
      <c r="E19" s="30"/>
      <c r="F19" s="30"/>
      <c r="G19" s="31"/>
      <c r="H19" s="6"/>
      <c r="I19" s="12" t="s">
        <v>76</v>
      </c>
      <c r="J19" s="12" t="s">
        <v>15</v>
      </c>
      <c r="K19" s="12">
        <v>1000</v>
      </c>
      <c r="L19" s="12" t="e">
        <f t="shared" si="2"/>
        <v>#VALUE!</v>
      </c>
    </row>
    <row r="20" spans="1:26" ht="16.5" x14ac:dyDescent="0.35">
      <c r="A20" s="9">
        <v>4</v>
      </c>
      <c r="B20" s="33" t="s">
        <v>27</v>
      </c>
      <c r="C20" s="30"/>
      <c r="D20" s="30"/>
      <c r="E20" s="30"/>
      <c r="F20" s="30"/>
      <c r="G20" s="31"/>
      <c r="H20" s="10"/>
      <c r="I20" s="9"/>
      <c r="J20" s="9"/>
      <c r="K20" s="9"/>
      <c r="L20" s="9"/>
    </row>
    <row r="21" spans="1:26" ht="15.75" customHeight="1" x14ac:dyDescent="0.35">
      <c r="A21" s="9" t="s">
        <v>13</v>
      </c>
      <c r="B21" s="33" t="s">
        <v>24</v>
      </c>
      <c r="C21" s="30"/>
      <c r="D21" s="30"/>
      <c r="E21" s="30"/>
      <c r="F21" s="30"/>
      <c r="G21" s="31"/>
      <c r="H21" s="10"/>
      <c r="I21" s="9"/>
      <c r="J21" s="9" t="s">
        <v>15</v>
      </c>
      <c r="K21" s="9">
        <v>500</v>
      </c>
      <c r="L21" s="9">
        <f t="shared" ref="L21:L22" si="3">I21*K21</f>
        <v>0</v>
      </c>
    </row>
    <row r="22" spans="1:26" ht="15.75" customHeight="1" x14ac:dyDescent="0.35">
      <c r="A22" s="12" t="s">
        <v>16</v>
      </c>
      <c r="B22" s="34" t="s">
        <v>28</v>
      </c>
      <c r="C22" s="30"/>
      <c r="D22" s="30"/>
      <c r="E22" s="30"/>
      <c r="F22" s="30"/>
      <c r="G22" s="31"/>
      <c r="H22" s="13"/>
      <c r="I22" s="12"/>
      <c r="J22" s="12" t="s">
        <v>15</v>
      </c>
      <c r="K22" s="12">
        <v>750</v>
      </c>
      <c r="L22" s="12">
        <f t="shared" si="3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>
      <c r="A23" s="9">
        <v>5</v>
      </c>
      <c r="B23" s="33" t="s">
        <v>29</v>
      </c>
      <c r="C23" s="30"/>
      <c r="D23" s="30"/>
      <c r="E23" s="30"/>
      <c r="F23" s="30"/>
      <c r="G23" s="31"/>
      <c r="H23" s="10"/>
      <c r="I23" s="9"/>
      <c r="J23" s="9"/>
      <c r="K23" s="9"/>
      <c r="L23" s="9"/>
    </row>
    <row r="24" spans="1:26" ht="15.75" customHeight="1" x14ac:dyDescent="0.35">
      <c r="A24" s="12" t="s">
        <v>13</v>
      </c>
      <c r="B24" s="34" t="s">
        <v>30</v>
      </c>
      <c r="C24" s="30"/>
      <c r="D24" s="30"/>
      <c r="E24" s="30"/>
      <c r="F24" s="30"/>
      <c r="G24" s="31"/>
      <c r="H24" s="13"/>
      <c r="I24" s="12"/>
      <c r="J24" s="12" t="s">
        <v>15</v>
      </c>
      <c r="K24" s="12">
        <v>3000</v>
      </c>
      <c r="L24" s="12">
        <f t="shared" ref="L24:L25" si="4">I24*K24</f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5">
      <c r="A25" s="12" t="s">
        <v>16</v>
      </c>
      <c r="B25" s="34" t="s">
        <v>22</v>
      </c>
      <c r="C25" s="30"/>
      <c r="D25" s="30"/>
      <c r="E25" s="30"/>
      <c r="F25" s="30"/>
      <c r="G25" s="31"/>
      <c r="H25" s="13"/>
      <c r="I25" s="12"/>
      <c r="J25" s="12" t="s">
        <v>15</v>
      </c>
      <c r="K25" s="12">
        <v>5000</v>
      </c>
      <c r="L25" s="12">
        <f t="shared" si="4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5">
      <c r="A26" s="9">
        <v>6</v>
      </c>
      <c r="B26" s="35" t="s">
        <v>31</v>
      </c>
      <c r="C26" s="30"/>
      <c r="D26" s="30"/>
      <c r="E26" s="30"/>
      <c r="F26" s="30"/>
      <c r="G26" s="31"/>
      <c r="H26" s="10"/>
      <c r="I26" s="9"/>
      <c r="J26" s="9"/>
      <c r="K26" s="9"/>
      <c r="L26" s="9"/>
    </row>
    <row r="27" spans="1:26" ht="15.75" customHeight="1" x14ac:dyDescent="0.35">
      <c r="A27" s="9" t="s">
        <v>13</v>
      </c>
      <c r="B27" s="33" t="s">
        <v>32</v>
      </c>
      <c r="C27" s="30"/>
      <c r="D27" s="30"/>
      <c r="E27" s="30"/>
      <c r="F27" s="30"/>
      <c r="G27" s="31"/>
      <c r="H27" s="10"/>
      <c r="I27" s="9"/>
      <c r="J27" s="9" t="s">
        <v>15</v>
      </c>
      <c r="K27" s="9">
        <v>250</v>
      </c>
      <c r="L27" s="9">
        <f t="shared" ref="L27:L30" si="5">I27*K27</f>
        <v>0</v>
      </c>
    </row>
    <row r="28" spans="1:26" ht="26.25" customHeight="1" x14ac:dyDescent="0.35">
      <c r="A28" s="9" t="s">
        <v>16</v>
      </c>
      <c r="B28" s="33" t="s">
        <v>33</v>
      </c>
      <c r="C28" s="30"/>
      <c r="D28" s="30"/>
      <c r="E28" s="30"/>
      <c r="F28" s="30"/>
      <c r="G28" s="31"/>
      <c r="H28" s="14"/>
      <c r="I28" s="12" t="s">
        <v>63</v>
      </c>
      <c r="J28" s="9" t="s">
        <v>15</v>
      </c>
      <c r="K28" s="9">
        <v>500</v>
      </c>
      <c r="L28" s="9" t="e">
        <f t="shared" si="5"/>
        <v>#VALUE!</v>
      </c>
    </row>
    <row r="29" spans="1:26" ht="36.75" customHeight="1" x14ac:dyDescent="0.35">
      <c r="A29" s="12" t="s">
        <v>21</v>
      </c>
      <c r="B29" s="34" t="s">
        <v>34</v>
      </c>
      <c r="C29" s="30"/>
      <c r="D29" s="30"/>
      <c r="E29" s="30"/>
      <c r="F29" s="30"/>
      <c r="G29" s="31"/>
      <c r="H29" s="14"/>
      <c r="I29" s="12" t="s">
        <v>64</v>
      </c>
      <c r="J29" s="12" t="s">
        <v>15</v>
      </c>
      <c r="K29" s="12">
        <v>750</v>
      </c>
      <c r="L29" s="12" t="e">
        <f t="shared" si="5"/>
        <v>#VALUE!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5">
      <c r="A30" s="9" t="s">
        <v>35</v>
      </c>
      <c r="B30" s="33" t="s">
        <v>28</v>
      </c>
      <c r="C30" s="30"/>
      <c r="D30" s="30"/>
      <c r="E30" s="30"/>
      <c r="F30" s="30"/>
      <c r="G30" s="31"/>
      <c r="H30" s="15"/>
      <c r="I30" s="12" t="s">
        <v>65</v>
      </c>
      <c r="J30" s="9" t="s">
        <v>15</v>
      </c>
      <c r="K30" s="9">
        <v>1000</v>
      </c>
      <c r="L30" s="9" t="e">
        <f t="shared" si="5"/>
        <v>#VALUE!</v>
      </c>
    </row>
    <row r="31" spans="1:26" ht="15.75" customHeight="1" x14ac:dyDescent="0.35">
      <c r="A31" s="9">
        <v>7</v>
      </c>
      <c r="B31" s="35" t="s">
        <v>36</v>
      </c>
      <c r="C31" s="30"/>
      <c r="D31" s="30"/>
      <c r="E31" s="30"/>
      <c r="F31" s="30"/>
      <c r="G31" s="31"/>
      <c r="H31" s="10"/>
      <c r="I31" s="9"/>
      <c r="J31" s="9"/>
      <c r="K31" s="9"/>
      <c r="L31" s="9"/>
    </row>
    <row r="32" spans="1:26" ht="15.75" customHeight="1" x14ac:dyDescent="0.35">
      <c r="A32" s="9" t="s">
        <v>13</v>
      </c>
      <c r="B32" s="33" t="s">
        <v>37</v>
      </c>
      <c r="C32" s="30"/>
      <c r="D32" s="30"/>
      <c r="E32" s="30"/>
      <c r="F32" s="30"/>
      <c r="G32" s="31"/>
      <c r="H32" s="10"/>
      <c r="I32" s="9" t="s">
        <v>66</v>
      </c>
      <c r="J32" s="9" t="s">
        <v>15</v>
      </c>
      <c r="K32" s="9">
        <v>50</v>
      </c>
      <c r="L32" s="9" t="e">
        <f t="shared" ref="L32:L38" si="6">I32*K32</f>
        <v>#VALUE!</v>
      </c>
    </row>
    <row r="33" spans="1:12" ht="15.75" customHeight="1" x14ac:dyDescent="0.35">
      <c r="A33" s="9" t="s">
        <v>16</v>
      </c>
      <c r="B33" s="33" t="s">
        <v>38</v>
      </c>
      <c r="C33" s="30"/>
      <c r="D33" s="30"/>
      <c r="E33" s="30"/>
      <c r="F33" s="30"/>
      <c r="G33" s="31"/>
      <c r="H33" s="11"/>
      <c r="I33" s="9" t="s">
        <v>67</v>
      </c>
      <c r="J33" s="9" t="s">
        <v>15</v>
      </c>
      <c r="K33" s="9">
        <v>75</v>
      </c>
      <c r="L33" s="9" t="e">
        <f t="shared" si="6"/>
        <v>#VALUE!</v>
      </c>
    </row>
    <row r="34" spans="1:12" ht="15.75" customHeight="1" x14ac:dyDescent="0.35">
      <c r="A34" s="9" t="s">
        <v>21</v>
      </c>
      <c r="B34" s="34" t="s">
        <v>39</v>
      </c>
      <c r="C34" s="30"/>
      <c r="D34" s="30"/>
      <c r="E34" s="30"/>
      <c r="F34" s="30"/>
      <c r="G34" s="31"/>
      <c r="H34" s="11"/>
      <c r="I34" s="9" t="s">
        <v>68</v>
      </c>
      <c r="J34" s="9" t="s">
        <v>15</v>
      </c>
      <c r="K34" s="9">
        <v>100</v>
      </c>
      <c r="L34" s="9" t="e">
        <f t="shared" si="6"/>
        <v>#VALUE!</v>
      </c>
    </row>
    <row r="35" spans="1:12" ht="15.75" customHeight="1" x14ac:dyDescent="0.35">
      <c r="A35" s="9" t="s">
        <v>35</v>
      </c>
      <c r="B35" s="34" t="s">
        <v>40</v>
      </c>
      <c r="C35" s="30"/>
      <c r="D35" s="30"/>
      <c r="E35" s="30"/>
      <c r="F35" s="30"/>
      <c r="G35" s="31"/>
      <c r="H35" s="11"/>
      <c r="I35" s="9" t="s">
        <v>69</v>
      </c>
      <c r="J35" s="9" t="s">
        <v>15</v>
      </c>
      <c r="K35" s="9">
        <v>150</v>
      </c>
      <c r="L35" s="9" t="e">
        <f t="shared" si="6"/>
        <v>#VALUE!</v>
      </c>
    </row>
    <row r="36" spans="1:12" ht="15.75" customHeight="1" x14ac:dyDescent="0.35">
      <c r="A36" s="9" t="s">
        <v>41</v>
      </c>
      <c r="B36" s="33" t="s">
        <v>42</v>
      </c>
      <c r="C36" s="30"/>
      <c r="D36" s="30"/>
      <c r="E36" s="30"/>
      <c r="F36" s="30"/>
      <c r="G36" s="31"/>
      <c r="H36" s="10"/>
      <c r="I36" s="9" t="s">
        <v>70</v>
      </c>
      <c r="J36" s="9" t="s">
        <v>15</v>
      </c>
      <c r="K36" s="9">
        <v>250</v>
      </c>
      <c r="L36" s="9" t="e">
        <f t="shared" si="6"/>
        <v>#VALUE!</v>
      </c>
    </row>
    <row r="37" spans="1:12" ht="15.75" customHeight="1" x14ac:dyDescent="0.35">
      <c r="A37" s="9" t="s">
        <v>43</v>
      </c>
      <c r="B37" s="33" t="s">
        <v>28</v>
      </c>
      <c r="C37" s="30"/>
      <c r="D37" s="30"/>
      <c r="E37" s="30"/>
      <c r="F37" s="30"/>
      <c r="G37" s="31"/>
      <c r="H37" s="10"/>
      <c r="I37" s="9" t="s">
        <v>71</v>
      </c>
      <c r="J37" s="9" t="s">
        <v>15</v>
      </c>
      <c r="K37" s="9">
        <v>500</v>
      </c>
      <c r="L37" s="9" t="e">
        <f t="shared" si="6"/>
        <v>#VALUE!</v>
      </c>
    </row>
    <row r="38" spans="1:12" ht="15.75" customHeight="1" x14ac:dyDescent="0.35">
      <c r="A38" s="9" t="s">
        <v>44</v>
      </c>
      <c r="B38" s="33" t="s">
        <v>45</v>
      </c>
      <c r="C38" s="30"/>
      <c r="D38" s="30"/>
      <c r="E38" s="30"/>
      <c r="F38" s="30"/>
      <c r="G38" s="31"/>
      <c r="H38" s="10"/>
      <c r="I38" s="9"/>
      <c r="J38" s="9" t="s">
        <v>15</v>
      </c>
      <c r="K38" s="9">
        <v>15000</v>
      </c>
      <c r="L38" s="9">
        <f t="shared" si="6"/>
        <v>0</v>
      </c>
    </row>
    <row r="39" spans="1:12" ht="15.75" customHeight="1" x14ac:dyDescent="0.35">
      <c r="A39" s="9">
        <v>8</v>
      </c>
      <c r="B39" s="33" t="s">
        <v>46</v>
      </c>
      <c r="C39" s="30"/>
      <c r="D39" s="30"/>
      <c r="E39" s="30"/>
      <c r="F39" s="30"/>
      <c r="G39" s="31"/>
      <c r="H39" s="10"/>
      <c r="I39" s="9"/>
      <c r="J39" s="9"/>
      <c r="K39" s="9"/>
      <c r="L39" s="9"/>
    </row>
    <row r="40" spans="1:12" ht="15.75" customHeight="1" x14ac:dyDescent="0.35">
      <c r="A40" s="9" t="s">
        <v>13</v>
      </c>
      <c r="B40" s="33" t="s">
        <v>47</v>
      </c>
      <c r="C40" s="30"/>
      <c r="D40" s="30"/>
      <c r="E40" s="30"/>
      <c r="F40" s="30"/>
      <c r="G40" s="31"/>
      <c r="H40" s="10"/>
      <c r="I40" s="9"/>
      <c r="J40" s="9" t="s">
        <v>15</v>
      </c>
      <c r="K40" s="9">
        <v>250</v>
      </c>
      <c r="L40" s="9">
        <f t="shared" ref="L40:L44" si="7">I40*K40</f>
        <v>0</v>
      </c>
    </row>
    <row r="41" spans="1:12" ht="15.75" customHeight="1" x14ac:dyDescent="0.35">
      <c r="A41" s="9" t="s">
        <v>16</v>
      </c>
      <c r="B41" s="33" t="s">
        <v>48</v>
      </c>
      <c r="C41" s="30"/>
      <c r="D41" s="30"/>
      <c r="E41" s="30"/>
      <c r="F41" s="30"/>
      <c r="G41" s="31"/>
      <c r="H41" s="10"/>
      <c r="I41" s="9"/>
      <c r="J41" s="9" t="s">
        <v>15</v>
      </c>
      <c r="K41" s="9">
        <v>250</v>
      </c>
      <c r="L41" s="9">
        <f t="shared" si="7"/>
        <v>0</v>
      </c>
    </row>
    <row r="42" spans="1:12" ht="15.75" customHeight="1" x14ac:dyDescent="0.35">
      <c r="A42" s="9" t="s">
        <v>21</v>
      </c>
      <c r="B42" s="33" t="s">
        <v>49</v>
      </c>
      <c r="C42" s="30"/>
      <c r="D42" s="30"/>
      <c r="E42" s="30"/>
      <c r="F42" s="30"/>
      <c r="G42" s="31"/>
      <c r="H42" s="10"/>
      <c r="I42" s="9">
        <v>1</v>
      </c>
      <c r="J42" s="9" t="s">
        <v>15</v>
      </c>
      <c r="K42" s="9">
        <v>100</v>
      </c>
      <c r="L42" s="9">
        <f t="shared" si="7"/>
        <v>100</v>
      </c>
    </row>
    <row r="43" spans="1:12" ht="15.75" customHeight="1" x14ac:dyDescent="0.35">
      <c r="A43" s="9" t="s">
        <v>35</v>
      </c>
      <c r="B43" s="33" t="s">
        <v>50</v>
      </c>
      <c r="C43" s="30"/>
      <c r="D43" s="30"/>
      <c r="E43" s="30"/>
      <c r="F43" s="30"/>
      <c r="G43" s="31"/>
      <c r="H43" s="10"/>
      <c r="I43" s="9"/>
      <c r="J43" s="9" t="s">
        <v>15</v>
      </c>
      <c r="K43" s="9">
        <v>1000</v>
      </c>
      <c r="L43" s="9">
        <f t="shared" si="7"/>
        <v>0</v>
      </c>
    </row>
    <row r="44" spans="1:12" ht="15.75" customHeight="1" x14ac:dyDescent="0.35">
      <c r="A44" s="9" t="s">
        <v>41</v>
      </c>
      <c r="B44" s="33" t="s">
        <v>51</v>
      </c>
      <c r="C44" s="30"/>
      <c r="D44" s="30"/>
      <c r="E44" s="30"/>
      <c r="F44" s="30"/>
      <c r="G44" s="31"/>
      <c r="H44" s="10"/>
      <c r="I44" s="9"/>
      <c r="J44" s="9" t="s">
        <v>15</v>
      </c>
      <c r="K44" s="9">
        <v>1000</v>
      </c>
      <c r="L44" s="9">
        <f t="shared" si="7"/>
        <v>0</v>
      </c>
    </row>
    <row r="45" spans="1:12" ht="15.75" customHeight="1" x14ac:dyDescent="0.35">
      <c r="A45" s="1"/>
      <c r="B45" s="26"/>
      <c r="C45" s="25"/>
      <c r="D45" s="25"/>
      <c r="E45" s="25"/>
      <c r="F45" s="25"/>
      <c r="G45" s="25"/>
      <c r="H45" s="16"/>
      <c r="I45" s="5"/>
      <c r="J45" s="5"/>
      <c r="K45" s="5"/>
      <c r="L45" s="17"/>
    </row>
    <row r="46" spans="1:12" ht="15.75" customHeight="1" x14ac:dyDescent="0.35">
      <c r="A46" s="2"/>
      <c r="B46" s="5"/>
      <c r="C46" s="5"/>
      <c r="D46" s="5"/>
      <c r="E46" s="5"/>
      <c r="F46" s="5"/>
      <c r="G46" s="24" t="s">
        <v>52</v>
      </c>
      <c r="H46" s="25"/>
      <c r="I46" s="25"/>
      <c r="J46" s="25"/>
      <c r="K46" s="18" t="s">
        <v>53</v>
      </c>
      <c r="L46" s="19" t="e">
        <f>SUM(L10:L44)</f>
        <v>#VALUE!</v>
      </c>
    </row>
    <row r="47" spans="1:12" ht="15.75" customHeight="1" x14ac:dyDescent="0.35">
      <c r="A47" s="5" t="s">
        <v>54</v>
      </c>
      <c r="B47" s="5"/>
      <c r="C47" s="23" t="s">
        <v>72</v>
      </c>
      <c r="D47" s="23"/>
      <c r="E47" s="23" t="s">
        <v>73</v>
      </c>
      <c r="F47" s="23"/>
      <c r="G47" s="22"/>
      <c r="H47" s="22"/>
      <c r="I47" s="22"/>
      <c r="J47" s="22"/>
      <c r="K47" s="18" t="s">
        <v>53</v>
      </c>
      <c r="L47" s="20" t="s">
        <v>75</v>
      </c>
    </row>
    <row r="48" spans="1:12" ht="21" customHeight="1" x14ac:dyDescent="0.35">
      <c r="A48" s="2"/>
      <c r="B48" s="5"/>
      <c r="C48" s="21" t="s">
        <v>55</v>
      </c>
      <c r="D48" s="22" t="s">
        <v>74</v>
      </c>
      <c r="E48" s="5"/>
      <c r="F48" s="27" t="s">
        <v>56</v>
      </c>
      <c r="G48" s="25"/>
      <c r="H48" s="25"/>
      <c r="I48" s="25"/>
      <c r="J48" s="25"/>
      <c r="K48" s="5"/>
      <c r="L48" s="17"/>
    </row>
    <row r="49" spans="1:12" ht="15.75" customHeight="1" x14ac:dyDescent="0.35">
      <c r="A49" s="2"/>
      <c r="B49" s="5"/>
      <c r="C49" s="5"/>
      <c r="D49" s="5"/>
      <c r="E49" s="5"/>
      <c r="F49" s="5"/>
      <c r="G49" s="5"/>
      <c r="H49" s="24" t="e">
        <f>IF(L47&gt;L46,"அதிகம்","நிலுவை")</f>
        <v>#VALUE!</v>
      </c>
      <c r="I49" s="25"/>
      <c r="J49" s="25"/>
      <c r="K49" s="18" t="s">
        <v>53</v>
      </c>
      <c r="L49" s="20" t="e">
        <f>L47-L46</f>
        <v>#VALUE!</v>
      </c>
    </row>
    <row r="50" spans="1:12" ht="15.75" customHeight="1" x14ac:dyDescent="0.35">
      <c r="A50" s="2"/>
      <c r="B50" s="5"/>
      <c r="C50" s="5"/>
      <c r="D50" s="5"/>
      <c r="E50" s="5"/>
      <c r="F50" s="5"/>
      <c r="G50" s="5"/>
      <c r="H50" s="5"/>
      <c r="I50" s="5"/>
      <c r="J50" s="5"/>
      <c r="K50" s="18"/>
      <c r="L50" s="17"/>
    </row>
    <row r="51" spans="1:12" ht="15.75" customHeight="1" x14ac:dyDescent="0.35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customHeight="1" x14ac:dyDescent="0.35">
      <c r="A52" s="2"/>
      <c r="B52" s="5"/>
      <c r="C52" s="5"/>
      <c r="D52" s="5"/>
      <c r="E52" s="5"/>
      <c r="F52" s="5"/>
      <c r="G52" s="5"/>
      <c r="H52" s="24"/>
      <c r="I52" s="25"/>
      <c r="J52" s="25"/>
      <c r="K52" s="25"/>
      <c r="L52" s="25"/>
    </row>
    <row r="53" spans="1:12" ht="15.75" customHeight="1" x14ac:dyDescent="0.35">
      <c r="A53" s="5" t="s">
        <v>57</v>
      </c>
      <c r="B53" s="5"/>
      <c r="C53" s="5"/>
      <c r="D53" s="5"/>
      <c r="E53" s="5"/>
      <c r="F53" s="5"/>
      <c r="G53" s="5"/>
      <c r="H53" s="24" t="s">
        <v>58</v>
      </c>
      <c r="I53" s="25"/>
      <c r="J53" s="25"/>
      <c r="K53" s="25"/>
      <c r="L53" s="25"/>
    </row>
    <row r="54" spans="1:12" ht="15.75" customHeight="1" x14ac:dyDescent="0.3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</row>
    <row r="55" spans="1:12" ht="15.75" customHeight="1" x14ac:dyDescent="0.3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1:12" ht="15.75" customHeight="1" x14ac:dyDescent="0.3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5.75" customHeight="1" x14ac:dyDescent="0.3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5.75" customHeight="1" x14ac:dyDescent="0.3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</row>
    <row r="59" spans="1:12" ht="15.75" customHeight="1" x14ac:dyDescent="0.3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2" ht="15.75" customHeight="1" x14ac:dyDescent="0.3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15.75" customHeight="1" x14ac:dyDescent="0.25"/>
    <row r="62" spans="1:12" ht="15.75" customHeight="1" x14ac:dyDescent="0.25"/>
    <row r="63" spans="1:12" ht="15.75" customHeight="1" x14ac:dyDescent="0.25"/>
    <row r="64" spans="1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3">
    <mergeCell ref="H53:L53"/>
    <mergeCell ref="B40:G40"/>
    <mergeCell ref="B41:G41"/>
    <mergeCell ref="B42:G42"/>
    <mergeCell ref="B43:G43"/>
    <mergeCell ref="B44:G44"/>
    <mergeCell ref="B45:G45"/>
    <mergeCell ref="B39:G39"/>
    <mergeCell ref="G46:J46"/>
    <mergeCell ref="F48:J48"/>
    <mergeCell ref="H49:J49"/>
    <mergeCell ref="H52:L52"/>
    <mergeCell ref="B34:G34"/>
    <mergeCell ref="B35:G35"/>
    <mergeCell ref="B36:G36"/>
    <mergeCell ref="B37:G37"/>
    <mergeCell ref="B38:G38"/>
    <mergeCell ref="B29:G29"/>
    <mergeCell ref="B30:G30"/>
    <mergeCell ref="B31:G31"/>
    <mergeCell ref="B32:G32"/>
    <mergeCell ref="B33:G33"/>
    <mergeCell ref="B24:G24"/>
    <mergeCell ref="B25:G25"/>
    <mergeCell ref="B26:G26"/>
    <mergeCell ref="B27:G27"/>
    <mergeCell ref="B28:G28"/>
    <mergeCell ref="B19:G19"/>
    <mergeCell ref="B20:G20"/>
    <mergeCell ref="B21:G21"/>
    <mergeCell ref="B22:G22"/>
    <mergeCell ref="B23:G23"/>
    <mergeCell ref="B14:G14"/>
    <mergeCell ref="B15:G15"/>
    <mergeCell ref="B16:G16"/>
    <mergeCell ref="B17:G17"/>
    <mergeCell ref="B18:G18"/>
    <mergeCell ref="B9:G9"/>
    <mergeCell ref="B10:G10"/>
    <mergeCell ref="B11:G11"/>
    <mergeCell ref="B12:G12"/>
    <mergeCell ref="B13:G13"/>
    <mergeCell ref="A5:D5"/>
    <mergeCell ref="A7:D7"/>
    <mergeCell ref="E7:F7"/>
    <mergeCell ref="B8:G8"/>
    <mergeCell ref="E5:K6"/>
    <mergeCell ref="I8:J8"/>
    <mergeCell ref="A1:L1"/>
    <mergeCell ref="A2:L2"/>
    <mergeCell ref="A3:D3"/>
    <mergeCell ref="E3:K3"/>
    <mergeCell ref="E4:K4"/>
  </mergeCells>
  <printOptions horizontalCentered="1" verticalCentered="1"/>
  <pageMargins left="0.31496062992125984" right="0.39370078740157483" top="0.43307086614173229" bottom="0.47244094488188981" header="0" footer="0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</dc:creator>
  <cp:lastModifiedBy>admin</cp:lastModifiedBy>
  <cp:lastPrinted>2026-06-22T07:43:12Z</cp:lastPrinted>
  <dcterms:created xsi:type="dcterms:W3CDTF">2012-07-13T15:22:33Z</dcterms:created>
  <dcterms:modified xsi:type="dcterms:W3CDTF">2026-07-12T15:07:51Z</dcterms:modified>
</cp:coreProperties>
</file>